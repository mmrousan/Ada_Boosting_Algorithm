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ousan\Downloads\"/>
    </mc:Choice>
  </mc:AlternateContent>
  <xr:revisionPtr revIDLastSave="0" documentId="13_ncr:1_{9E9BBE54-902E-4014-920C-136B879FE66C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AdaBoost experiments" sheetId="1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" l="1"/>
  <c r="H2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<sst xmlns="http://schemas.openxmlformats.org/spreadsheetml/2006/main" count="344" uniqueCount="159">
  <si>
    <t>ID</t>
  </si>
  <si>
    <t>Group</t>
  </si>
  <si>
    <t>estimator</t>
  </si>
  <si>
    <t>max_depth (tree)</t>
  </si>
  <si>
    <t>n_estimators</t>
  </si>
  <si>
    <t>learning_rate</t>
  </si>
  <si>
    <t>loss</t>
  </si>
  <si>
    <t>random_state</t>
  </si>
  <si>
    <t>R² (test)</t>
  </si>
  <si>
    <t>MAE (test)</t>
  </si>
  <si>
    <t>Python settings</t>
  </si>
  <si>
    <t>AB001</t>
  </si>
  <si>
    <t>Baseline</t>
  </si>
  <si>
    <t>DecisionTreeRegressor</t>
  </si>
  <si>
    <t>linear</t>
  </si>
  <si>
    <t>AB002</t>
  </si>
  <si>
    <t>Core grid</t>
  </si>
  <si>
    <t>AB003</t>
  </si>
  <si>
    <t>AB004</t>
  </si>
  <si>
    <t>AB005</t>
  </si>
  <si>
    <t>AB006</t>
  </si>
  <si>
    <t>AB007</t>
  </si>
  <si>
    <t>AB008</t>
  </si>
  <si>
    <t>AB009</t>
  </si>
  <si>
    <t>AB010</t>
  </si>
  <si>
    <t>AB011</t>
  </si>
  <si>
    <t>AB012</t>
  </si>
  <si>
    <t>AB013</t>
  </si>
  <si>
    <t>AB014</t>
  </si>
  <si>
    <t>AB015</t>
  </si>
  <si>
    <t>AB016</t>
  </si>
  <si>
    <t>AB017</t>
  </si>
  <si>
    <t>AB018</t>
  </si>
  <si>
    <t>AB019</t>
  </si>
  <si>
    <t>AB020</t>
  </si>
  <si>
    <t>Depth test</t>
  </si>
  <si>
    <t>AB021</t>
  </si>
  <si>
    <t>Low learning rate</t>
  </si>
  <si>
    <t>AB022</t>
  </si>
  <si>
    <t>AB023</t>
  </si>
  <si>
    <t>Loss test</t>
  </si>
  <si>
    <t>square</t>
  </si>
  <si>
    <t>AB024</t>
  </si>
  <si>
    <t>exponential</t>
  </si>
  <si>
    <t>Imports</t>
  </si>
  <si>
    <t>from sklearn.ensemble import AdaBoostRegressor; from sklearn.tree import DecisionTreeRegressor</t>
  </si>
  <si>
    <t>Usage</t>
  </si>
  <si>
    <t>Assign a Python settings expression to model, then run model.fit(X_train, y_train) and model.predict(X_test).</t>
  </si>
  <si>
    <t>Results</t>
  </si>
  <si>
    <t>R² and MAE are blank for you to enter after running each experiment. Keep the same train/test split.</t>
  </si>
  <si>
    <t>Parameters</t>
  </si>
  <si>
    <t>max_depth belongs to the base decision tree. Python settings update automatically when parameter cells change.</t>
  </si>
  <si>
    <t>Selection</t>
  </si>
  <si>
    <t>For final model selection, use cross-validation on training data and evaluate the chosen model once on the held-out test set.</t>
  </si>
  <si>
    <t>Reference</t>
  </si>
  <si>
    <t>https://scikit-learn.org/stable/modules/generated/sklearn.ensemble.AdaBoostRegressor.html</t>
  </si>
  <si>
    <t>AdaBoostRegressor(estimator=DecisionTreeRegressor(max_depth=3, random_state=0), n_estimators=50, learning_rate=1, loss='linear', random_state=0)</t>
  </si>
  <si>
    <t>AdaBoostRegressor(estimator=DecisionTreeRegressor(max_depth=2, random_state=0), n_estimators=100, learning_rate=0.1, loss='linear', random_state=0)</t>
  </si>
  <si>
    <t>AdaBoostRegressor(estimator=DecisionTreeRegressor(max_depth=2, random_state=0), n_estimators=100, learning_rate=0.5, loss='linear', random_state=0)</t>
  </si>
  <si>
    <t>AdaBoostRegressor(estimator=DecisionTreeRegressor(max_depth=2, random_state=0), n_estimators=100, learning_rate=1, loss='linear', random_state=0)</t>
  </si>
  <si>
    <t>AdaBoostRegressor(estimator=DecisionTreeRegressor(max_depth=2, random_state=0), n_estimators=200, learning_rate=0.1, loss='linear', random_state=0)</t>
  </si>
  <si>
    <t>AdaBoostRegressor(estimator=DecisionTreeRegressor(max_depth=2, random_state=0), n_estimators=200, learning_rate=0.5, loss='linear', random_state=0)</t>
  </si>
  <si>
    <t>AdaBoostRegressor(estimator=DecisionTreeRegressor(max_depth=2, random_state=0), n_estimators=200, learning_rate=1, loss='linear', random_state=0)</t>
  </si>
  <si>
    <t>AdaBoostRegressor(estimator=DecisionTreeRegressor(max_depth=3, random_state=0), n_estimators=100, learning_rate=0.1, loss='linear', random_state=0)</t>
  </si>
  <si>
    <t>AdaBoostRegressor(estimator=DecisionTreeRegressor(max_depth=3, random_state=0), n_estimators=100, learning_rate=0.5, loss='linear', random_state=0)</t>
  </si>
  <si>
    <t>AdaBoostRegressor(estimator=DecisionTreeRegressor(max_depth=3, random_state=0), n_estimators=100, learning_rate=1, loss='linear', random_state=0)</t>
  </si>
  <si>
    <t>AdaBoostRegressor(estimator=DecisionTreeRegressor(max_depth=3, random_state=0), n_estimators=200, learning_rate=0.1, loss='linear', random_state=0)</t>
  </si>
  <si>
    <t>AdaBoostRegressor(estimator=DecisionTreeRegressor(max_depth=3, random_state=0), n_estimators=200, learning_rate=0.5, loss='linear', random_state=0)</t>
  </si>
  <si>
    <t>AdaBoostRegressor(estimator=DecisionTreeRegressor(max_depth=3, random_state=0), n_estimators=200, learning_rate=1, loss='linear', random_state=0)</t>
  </si>
  <si>
    <t>AdaBoostRegressor(estimator=DecisionTreeRegressor(max_depth=5, random_state=0), n_estimators=100, learning_rate=0.1, loss='linear', random_state=0)</t>
  </si>
  <si>
    <t>AdaBoostRegressor(estimator=DecisionTreeRegressor(max_depth=5, random_state=0), n_estimators=100, learning_rate=0.5, loss='linear', random_state=0)</t>
  </si>
  <si>
    <t>AdaBoostRegressor(estimator=DecisionTreeRegressor(max_depth=5, random_state=0), n_estimators=100, learning_rate=1, loss='linear', random_state=0)</t>
  </si>
  <si>
    <t>AdaBoostRegressor(estimator=DecisionTreeRegressor(max_depth=5, random_state=0), n_estimators=200, learning_rate=0.1, loss='linear', random_state=0)</t>
  </si>
  <si>
    <t>AdaBoostRegressor(estimator=DecisionTreeRegressor(max_depth=5, random_state=0), n_estimators=200, learning_rate=0.5, loss='linear', random_state=0)</t>
  </si>
  <si>
    <t>AdaBoostRegressor(estimator=DecisionTreeRegressor(max_depth=5, random_state=0), n_estimators=200, learning_rate=1, loss='linear', random_state=0)</t>
  </si>
  <si>
    <t>AdaBoostRegressor(estimator=DecisionTreeRegressor(max_depth=1, random_state=0), n_estimators=100, learning_rate=0.1, loss='linear', random_state=0)</t>
  </si>
  <si>
    <t>AdaBoostRegressor(estimator=DecisionTreeRegressor(max_depth=3, random_state=0), n_estimators=200, learning_rate=0.05, loss='linear', random_state=0)</t>
  </si>
  <si>
    <t>AdaBoostRegressor(estimator=DecisionTreeRegressor(max_depth=3, random_state=0), n_estimators=200, learning_rate=0.01, loss='linear', random_state=0)</t>
  </si>
  <si>
    <t>AdaBoostRegressor(estimator=DecisionTreeRegressor(max_depth=3, random_state=0), n_estimators=100, learning_rate=0.1, loss='square', random_state=0)</t>
  </si>
  <si>
    <t>AdaBoostRegressor(estimator=DecisionTreeRegressor(max_depth=3, random_state=0), n_estimators=100, learning_rate=0.1, loss='exponential', random_state=0)</t>
  </si>
  <si>
    <t>regressor=AdaBoostRegressor(estimator=None , n_estimators=50, learning_rate=1, loss='linear', random_state=0)</t>
  </si>
  <si>
    <t>None</t>
  </si>
  <si>
    <t>DecisionTreeRegressor(max_depth=1, random_state=0)</t>
  </si>
  <si>
    <t>DecisionTreeRegressor(max_depth=2, random_state=0)</t>
  </si>
  <si>
    <t>DecisionTreeRegressor(max_depth=3, random_state=0)</t>
  </si>
  <si>
    <t>DecisionTreeRegressor(max_depth=5, random_state=0)</t>
  </si>
  <si>
    <t>regressor=AdaBoostRegressor(estimator=None , n_estimators=50, learning_rate=0.5, loss='linear', random_state=0)</t>
  </si>
  <si>
    <t>regressor=AdaBoostRegressor(estimator=None , n_estimators=50, learning_rate=0.1, loss='linear', random_state=0)</t>
  </si>
  <si>
    <t>regressor=AdaBoostRegressor(estimator=None , n_estimators=50, learning_rate=0.05, loss='linear', random_state=0)</t>
  </si>
  <si>
    <t>regressor=AdaBoostRegressor(estimator=None , n_estimators=100, learning_rate=1, loss='linear', random_state=0)</t>
  </si>
  <si>
    <t>regressor=AdaBoostRegressor(estimator=None , n_estimators=100, learning_rate=0.5, loss='linear', random_state=0)</t>
  </si>
  <si>
    <t>regressor=AdaBoostRegressor(estimator=None , n_estimators=100, learning_rate=0.1, loss='linear', random_state=0)</t>
  </si>
  <si>
    <t>regressor=AdaBoostRegressor(estimator=None , n_estimators=100, learning_rate=0.05, loss='linear', random_state=0)</t>
  </si>
  <si>
    <t>regressor=AdaBoostRegressor(estimator=None , n_estimators=50, learning_rate=1, loss='square', random_state=0)</t>
  </si>
  <si>
    <t>regressor=AdaBoostRegressor(estimator=None , n_estimators=50, learning_rate=0.5, loss='square', random_state=0)</t>
  </si>
  <si>
    <t>regressor=AdaBoostRegressor(estimator=None , n_estimators=50, learning_rate=0.1, loss='square', random_state=0)</t>
  </si>
  <si>
    <t>regressor=AdaBoostRegressor(estimator=None , n_estimators=50, learning_rate=0.05, loss='square', random_state=0)</t>
  </si>
  <si>
    <t>regressor=AdaBoostRegressor(estimator=None , n_estimators=100, learning_rate=1, loss='square', random_state=0)</t>
  </si>
  <si>
    <t>regressor=AdaBoostRegressor(estimator=None , n_estimators=100, learning_rate=0.5, loss='square', random_state=0)</t>
  </si>
  <si>
    <t>regressor=AdaBoostRegressor(estimator=None , n_estimators=100, learning_rate=0.1, loss='square', random_state=0)</t>
  </si>
  <si>
    <t>regressor=AdaBoostRegressor(estimator=None , n_estimators=100, learning_rate=0.05, loss='square', random_state=0)</t>
  </si>
  <si>
    <t>regressor=AdaBoostRegressor(estimator=None , n_estimators=50, learning_rate=1, loss='exponential', random_state=0)</t>
  </si>
  <si>
    <t>regressor=AdaBoostRegressor(estimator=None , n_estimators=50, learning_rate=0.5, loss='exponential', random_state=0)</t>
  </si>
  <si>
    <t>regressor=AdaBoostRegressor(estimator=None , n_estimators=50, learning_rate=0.1, loss='exponential', random_state=0)</t>
  </si>
  <si>
    <t>regressor=AdaBoostRegressor(estimator=None , n_estimators=50, learning_rate=0.05, loss='exponential', random_state=0)</t>
  </si>
  <si>
    <t>regressor=AdaBoostRegressor(estimator=None , n_estimators=100, learning_rate=0.05, loss='exponential', random_state=0)</t>
  </si>
  <si>
    <t>regressor=AdaBoostRegressor(estimator=None , n_estimators=100, learning_rate=1, loss='exponential', random_state=0)</t>
  </si>
  <si>
    <t>regressor=AdaBoostRegressor(estimator=None , n_estimators=100, learning_rate=0.5, loss='exponential', random_state=0)</t>
  </si>
  <si>
    <t>regressor=AdaBoostRegressor(estimator=None , n_estimators=100, learning_rate=0.1, loss='exponential', random_state=0)</t>
  </si>
  <si>
    <t>AB025</t>
  </si>
  <si>
    <t>AB026</t>
  </si>
  <si>
    <t>regressor=AdaBoostRegressor(estimator=DecisionTreeRegressor(max_depth=1, random_state=0) , n_estimators=50, learning_rate=1, loss='linear', random_state=0)</t>
  </si>
  <si>
    <t>regressor=AdaBoostRegressor(estimator=DecisionTreeRegressor(max_depth=2,random_state=0) , n_estimators=50, learning_rate=0.5, loss='linear', random_state=0)</t>
  </si>
  <si>
    <t>AB027</t>
  </si>
  <si>
    <t>AB028</t>
  </si>
  <si>
    <t>AB029</t>
  </si>
  <si>
    <t>AB030</t>
  </si>
  <si>
    <t>AB031</t>
  </si>
  <si>
    <t>AB032</t>
  </si>
  <si>
    <t>regressor=AdaBoostRegressor(estimator=DecisionTreeRegressor(max_depth=3,random_state=0) , n_estimators=50, learning_rate=0.1, loss='linear', random_state=0)</t>
  </si>
  <si>
    <t>regressor=AdaBoostRegressor(estimator=DecisionTreeRegressor(max_depth=5,random_state=0) , n_estimators=50, learning_rate=0.05, loss='linear', random_state=0)</t>
  </si>
  <si>
    <t>regressor=AdaBoostRegressor(estimator=DecisionTreeRegressor(max_depth=1,random_state=0) , n_estimators=100, learning_rate=0.5, loss='linear', random_state=0)</t>
  </si>
  <si>
    <t>regressor=AdaBoostRegressor(estimator=DecisionTreeRegressor(max_depth=1,random_state=0) , n_estimators=100, learning_rate=1, loss='linear', random_state=0)</t>
  </si>
  <si>
    <t>regressor=AdaBoostRegressor(estimator=DecisionTreeRegressor(max_depth=3,random_state=0) , n_estimators=100, learning_rate=0.1, loss='linear', random_state=0)</t>
  </si>
  <si>
    <t>regressor=AdaBoostRegressor(estimator=DecisionTreeRegressor(max_depth=5,random_state=0) , n_estimators=100, learning_rate=0.05, loss='linear', random_state=0)</t>
  </si>
  <si>
    <t>AB033</t>
  </si>
  <si>
    <t>AB034</t>
  </si>
  <si>
    <t>AB035</t>
  </si>
  <si>
    <t>AB036</t>
  </si>
  <si>
    <t>AB037</t>
  </si>
  <si>
    <t>AB038</t>
  </si>
  <si>
    <t>AB039</t>
  </si>
  <si>
    <t>AB040</t>
  </si>
  <si>
    <t>regressor=AdaBoostRegressor(estimator=DecisionTreeRegressor(max_depth=1, random_state=0) , n_estimators=50, learning_rate=1, loss='square', random_state=0)</t>
  </si>
  <si>
    <t>regressor=AdaBoostRegressor(estimator=DecisionTreeRegressor(max_depth=2, random_state=0) , n_estimators=50, learning_rate=0.5, loss='square', random_state=0)</t>
  </si>
  <si>
    <t>regressor=AdaBoostRegressor(estimator=DecisionTreeRegressor(max_depth=3, random_state=0) , n_estimators=50, learning_rate=0.1, loss='square', random_state=0)</t>
  </si>
  <si>
    <t>regressor=AdaBoostRegressor(estimator=DecisionTreeRegressor(max_depth=5, random_state=0) , n_estimators=50, learning_rate=0.01, loss='square', random_state=0)</t>
  </si>
  <si>
    <t>regressor=AdaBoostRegressor(estimator=DecisionTreeRegressor(max_depth=1, random_state=0) , n_estimators=100, learning_rate=1, loss='square', random_state=0)</t>
  </si>
  <si>
    <t>regressor=AdaBoostRegressor(estimator=DecisionTreeRegressor(max_depth=2, random_state=0) , n_estimators=100, learning_rate=0.5, loss='square', random_state=0)</t>
  </si>
  <si>
    <t>regressor=AdaBoostRegressor(estimator=DecisionTreeRegressor(max_depth=3, random_state=0) , n_estimators=100, learning_rate=0.1, loss='square', random_state=0)</t>
  </si>
  <si>
    <t>regressor=AdaBoostRegressor(estimator=DecisionTreeRegressor(max_depth=5, random_state=0) , n_estimators=100, learning_rate=0.05, loss='square', random_state=0)</t>
  </si>
  <si>
    <t>AB041</t>
  </si>
  <si>
    <t>AB042</t>
  </si>
  <si>
    <t>AB043</t>
  </si>
  <si>
    <t>AB044</t>
  </si>
  <si>
    <t>AB045</t>
  </si>
  <si>
    <t>AB046</t>
  </si>
  <si>
    <t>AB047</t>
  </si>
  <si>
    <t>AB048</t>
  </si>
  <si>
    <t>regressor=AdaBoostRegressor(estimator=DecisionTreeRegressor(max_depth=1,random_state=0) , n_estimators=50, learning_rate=1, loss='exponential', random_state=0)</t>
  </si>
  <si>
    <t>regressor=AdaBoostRegressor(estimator=DecisionTreeRegressor(max_depth=2,random_state=0) , n_estimators=50, learning_rate=0.5, loss='exponential', random_state=0)</t>
  </si>
  <si>
    <t>regressor=AdaBoostRegressor(estimator=DecisionTreeRegressor(max_depth=3,random_state=0) , n_estimators=50, learning_rate=0.1, loss='exponential', random_state=0)</t>
  </si>
  <si>
    <t>regressor=AdaBoostRegressor(estimator=DecisionTreeRegressor(max_depth=5,random_state=0) , n_estimators=50, learning_rate=0.05, loss='exponential', random_state=0)</t>
  </si>
  <si>
    <t>regressor=AdaBoostRegressor(estimator=DecisionTreeRegressor(max_depth=1,random_state=0) , n_estimators=100, learning_rate=1, loss='exponential', random_state=0)</t>
  </si>
  <si>
    <t>regressor=AdaBoostRegressor(estimator=DecisionTreeRegressor(max_depth=2,random_state=0) , n_estimators=100, learning_rate=0.5, loss='exponential', random_state=0)</t>
  </si>
  <si>
    <t>regressor=AdaBoostRegressor(estimator=DecisionTreeRegressor(max_depth=3,random_state=0) , n_estimators=100, learning_rate=0.1, loss='exponential', random_state=0)</t>
  </si>
  <si>
    <t>regressor=AdaBoostRegressor(estimator=DecisionTreeRegressor(max_depth=5,random_state=0) , n_estimators=100, learning_rate=0.05, loss='exponential', random_state=0)</t>
  </si>
  <si>
    <t>Criteria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</si>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</sst>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1"/>
      <name val="Carlito"/>
    </font>
    <font>
      <sz val="10"/>
      <color rgb="FF172B4D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Carlito"/>
    </font>
    <font>
      <sz val="8"/>
      <name val="Carlito"/>
    </font>
    <font>
      <sz val="10"/>
      <name val="Carlito"/>
    </font>
    <font>
      <sz val="9"/>
      <name val="Carlito"/>
    </font>
    <font>
      <sz val="10"/>
      <color rgb="FFFF0000"/>
      <name val="Carlito"/>
    </font>
    <font>
      <sz val="9"/>
      <color rgb="FFFF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D5D83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2EFF8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horizontal="right" vertical="center"/>
    </xf>
    <xf numFmtId="2" fontId="1" fillId="3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right" vertical="center"/>
    </xf>
    <xf numFmtId="2" fontId="1" fillId="4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4" fillId="6" borderId="3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5" xfId="0" applyFont="1" applyBorder="1" applyAlignment="1"/>
    <xf numFmtId="0" fontId="6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4" fillId="6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/>
    <xf numFmtId="0" fontId="8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right" vertical="center" wrapText="1"/>
    </xf>
    <xf numFmtId="0" fontId="8" fillId="6" borderId="5" xfId="0" applyFont="1" applyFill="1" applyBorder="1" applyAlignment="1"/>
    <xf numFmtId="0" fontId="8" fillId="6" borderId="8" xfId="0" applyFont="1" applyFill="1" applyBorder="1" applyAlignment="1"/>
    <xf numFmtId="0" fontId="9" fillId="6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aBoostExperiments" displayName="AdaBoostExperiments" ref="A1:K25" totalsRowShown="0">
  <autoFilter ref="A1:K25" xr:uid="{66971E06-0504-48B5-B82E-36332E1EFD5D}"/>
  <tableColumns count="11">
    <tableColumn id="1" xr3:uid="{00000000-0010-0000-0000-000001000000}" name="ID"/>
    <tableColumn id="2" xr3:uid="{00000000-0010-0000-0000-000002000000}" name="Group"/>
    <tableColumn id="3" xr3:uid="{00000000-0010-0000-0000-000003000000}" name="estimator"/>
    <tableColumn id="4" xr3:uid="{00000000-0010-0000-0000-000004000000}" name="max_depth (tree)"/>
    <tableColumn id="5" xr3:uid="{00000000-0010-0000-0000-000005000000}" name="n_estimators"/>
    <tableColumn id="6" xr3:uid="{00000000-0010-0000-0000-000006000000}" name="learning_rate"/>
    <tableColumn id="7" xr3:uid="{00000000-0010-0000-0000-000007000000}" name="loss"/>
    <tableColumn id="8" xr3:uid="{00000000-0010-0000-0000-000008000000}" name="random_state"/>
    <tableColumn id="9" xr3:uid="{00000000-0010-0000-0000-000009000000}" name="R² (test)"/>
    <tableColumn id="10" xr3:uid="{00000000-0010-0000-0000-00000A000000}" name="MAE (test)"/>
    <tableColumn id="11" xr3:uid="{00000000-0010-0000-0000-00000B000000}" name="Python sett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pane xSplit="2" ySplit="1" topLeftCell="J19" activePane="bottomRight" state="frozen"/>
      <selection pane="topRight"/>
      <selection pane="bottomLeft"/>
      <selection pane="bottomRight" activeCell="K27" sqref="K27"/>
    </sheetView>
  </sheetViews>
  <sheetFormatPr defaultRowHeight="13.8"/>
  <cols>
    <col min="1" max="1" width="10" customWidth="1"/>
    <col min="2" max="2" width="21" customWidth="1"/>
    <col min="3" max="3" width="27" customWidth="1"/>
    <col min="4" max="4" width="20" customWidth="1"/>
    <col min="5" max="5" width="17" customWidth="1"/>
    <col min="6" max="7" width="18" customWidth="1"/>
    <col min="8" max="8" width="17" customWidth="1"/>
    <col min="9" max="10" width="15" customWidth="1"/>
    <col min="11" max="11" width="10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05" customHeight="1">
      <c r="A2" s="2" t="s">
        <v>11</v>
      </c>
      <c r="B2" s="2" t="s">
        <v>12</v>
      </c>
      <c r="C2" s="2" t="s">
        <v>13</v>
      </c>
      <c r="D2" s="5">
        <v>3</v>
      </c>
      <c r="E2" s="5">
        <v>50</v>
      </c>
      <c r="F2" s="6">
        <v>1</v>
      </c>
      <c r="G2" s="5" t="s">
        <v>14</v>
      </c>
      <c r="H2" s="5">
        <v>0</v>
      </c>
      <c r="I2" s="4"/>
      <c r="J2" s="4"/>
      <c r="K2" s="9" t="s">
        <v>56</v>
      </c>
    </row>
    <row r="3" spans="1:11" ht="46.05" customHeight="1">
      <c r="A3" s="3" t="s">
        <v>15</v>
      </c>
      <c r="B3" s="3" t="s">
        <v>16</v>
      </c>
      <c r="C3" s="3" t="s">
        <v>13</v>
      </c>
      <c r="D3" s="7">
        <v>2</v>
      </c>
      <c r="E3" s="7">
        <v>100</v>
      </c>
      <c r="F3" s="8">
        <v>0.1</v>
      </c>
      <c r="G3" s="7" t="s">
        <v>14</v>
      </c>
      <c r="H3" s="7">
        <v>0</v>
      </c>
      <c r="I3" s="4"/>
      <c r="J3" s="4"/>
      <c r="K3" s="10" t="s">
        <v>57</v>
      </c>
    </row>
    <row r="4" spans="1:11" ht="46.05" customHeight="1">
      <c r="A4" s="2" t="s">
        <v>17</v>
      </c>
      <c r="B4" s="2" t="s">
        <v>16</v>
      </c>
      <c r="C4" s="2" t="s">
        <v>13</v>
      </c>
      <c r="D4" s="5">
        <v>2</v>
      </c>
      <c r="E4" s="5">
        <v>100</v>
      </c>
      <c r="F4" s="6">
        <v>0.5</v>
      </c>
      <c r="G4" s="5" t="s">
        <v>14</v>
      </c>
      <c r="H4" s="5">
        <v>0</v>
      </c>
      <c r="I4" s="4"/>
      <c r="J4" s="4"/>
      <c r="K4" s="9" t="s">
        <v>58</v>
      </c>
    </row>
    <row r="5" spans="1:11" ht="46.05" customHeight="1">
      <c r="A5" s="3" t="s">
        <v>18</v>
      </c>
      <c r="B5" s="3" t="s">
        <v>16</v>
      </c>
      <c r="C5" s="3" t="s">
        <v>13</v>
      </c>
      <c r="D5" s="7">
        <v>2</v>
      </c>
      <c r="E5" s="7">
        <v>100</v>
      </c>
      <c r="F5" s="8">
        <v>1</v>
      </c>
      <c r="G5" s="7" t="s">
        <v>14</v>
      </c>
      <c r="H5" s="7">
        <v>0</v>
      </c>
      <c r="I5" s="4"/>
      <c r="J5" s="4"/>
      <c r="K5" s="10" t="s">
        <v>59</v>
      </c>
    </row>
    <row r="6" spans="1:11" ht="46.05" customHeight="1">
      <c r="A6" s="2" t="s">
        <v>19</v>
      </c>
      <c r="B6" s="2" t="s">
        <v>16</v>
      </c>
      <c r="C6" s="2" t="s">
        <v>13</v>
      </c>
      <c r="D6" s="5">
        <v>2</v>
      </c>
      <c r="E6" s="5">
        <v>200</v>
      </c>
      <c r="F6" s="6">
        <v>0.1</v>
      </c>
      <c r="G6" s="5" t="s">
        <v>14</v>
      </c>
      <c r="H6" s="5">
        <v>0</v>
      </c>
      <c r="I6" s="4"/>
      <c r="J6" s="4"/>
      <c r="K6" s="9" t="s">
        <v>60</v>
      </c>
    </row>
    <row r="7" spans="1:11" ht="46.05" customHeight="1">
      <c r="A7" s="3" t="s">
        <v>20</v>
      </c>
      <c r="B7" s="3" t="s">
        <v>16</v>
      </c>
      <c r="C7" s="3" t="s">
        <v>13</v>
      </c>
      <c r="D7" s="7">
        <v>2</v>
      </c>
      <c r="E7" s="7">
        <v>200</v>
      </c>
      <c r="F7" s="8">
        <v>0.5</v>
      </c>
      <c r="G7" s="7" t="s">
        <v>14</v>
      </c>
      <c r="H7" s="7">
        <v>0</v>
      </c>
      <c r="I7" s="4"/>
      <c r="J7" s="4"/>
      <c r="K7" s="10" t="s">
        <v>61</v>
      </c>
    </row>
    <row r="8" spans="1:11" ht="46.05" customHeight="1">
      <c r="A8" s="2" t="s">
        <v>21</v>
      </c>
      <c r="B8" s="2" t="s">
        <v>16</v>
      </c>
      <c r="C8" s="2" t="s">
        <v>13</v>
      </c>
      <c r="D8" s="5">
        <v>2</v>
      </c>
      <c r="E8" s="5">
        <v>200</v>
      </c>
      <c r="F8" s="6">
        <v>1</v>
      </c>
      <c r="G8" s="5" t="s">
        <v>14</v>
      </c>
      <c r="H8" s="5">
        <v>0</v>
      </c>
      <c r="I8" s="4"/>
      <c r="J8" s="4"/>
      <c r="K8" s="9" t="s">
        <v>62</v>
      </c>
    </row>
    <row r="9" spans="1:11" ht="46.05" customHeight="1">
      <c r="A9" s="3" t="s">
        <v>22</v>
      </c>
      <c r="B9" s="3" t="s">
        <v>16</v>
      </c>
      <c r="C9" s="3" t="s">
        <v>13</v>
      </c>
      <c r="D9" s="7">
        <v>3</v>
      </c>
      <c r="E9" s="7">
        <v>100</v>
      </c>
      <c r="F9" s="8">
        <v>0.1</v>
      </c>
      <c r="G9" s="7" t="s">
        <v>14</v>
      </c>
      <c r="H9" s="7">
        <v>0</v>
      </c>
      <c r="I9" s="4"/>
      <c r="J9" s="4"/>
      <c r="K9" s="10" t="s">
        <v>63</v>
      </c>
    </row>
    <row r="10" spans="1:11" ht="46.05" customHeight="1">
      <c r="A10" s="2" t="s">
        <v>23</v>
      </c>
      <c r="B10" s="2" t="s">
        <v>16</v>
      </c>
      <c r="C10" s="2" t="s">
        <v>13</v>
      </c>
      <c r="D10" s="5">
        <v>3</v>
      </c>
      <c r="E10" s="5">
        <v>100</v>
      </c>
      <c r="F10" s="6">
        <v>0.5</v>
      </c>
      <c r="G10" s="5" t="s">
        <v>14</v>
      </c>
      <c r="H10" s="5">
        <v>0</v>
      </c>
      <c r="I10" s="4"/>
      <c r="J10" s="4"/>
      <c r="K10" s="9" t="s">
        <v>64</v>
      </c>
    </row>
    <row r="11" spans="1:11" ht="46.05" customHeight="1">
      <c r="A11" s="3" t="s">
        <v>24</v>
      </c>
      <c r="B11" s="3" t="s">
        <v>16</v>
      </c>
      <c r="C11" s="3" t="s">
        <v>13</v>
      </c>
      <c r="D11" s="7">
        <v>3</v>
      </c>
      <c r="E11" s="7">
        <v>100</v>
      </c>
      <c r="F11" s="8">
        <v>1</v>
      </c>
      <c r="G11" s="7" t="s">
        <v>14</v>
      </c>
      <c r="H11" s="7">
        <v>0</v>
      </c>
      <c r="I11" s="4"/>
      <c r="J11" s="4"/>
      <c r="K11" s="10" t="s">
        <v>65</v>
      </c>
    </row>
    <row r="12" spans="1:11" ht="46.05" customHeight="1">
      <c r="A12" s="2" t="s">
        <v>25</v>
      </c>
      <c r="B12" s="2" t="s">
        <v>16</v>
      </c>
      <c r="C12" s="2" t="s">
        <v>13</v>
      </c>
      <c r="D12" s="5">
        <v>3</v>
      </c>
      <c r="E12" s="5">
        <v>200</v>
      </c>
      <c r="F12" s="6">
        <v>0.1</v>
      </c>
      <c r="G12" s="5" t="s">
        <v>14</v>
      </c>
      <c r="H12" s="5">
        <v>0</v>
      </c>
      <c r="I12" s="4"/>
      <c r="J12" s="4"/>
      <c r="K12" s="9" t="s">
        <v>66</v>
      </c>
    </row>
    <row r="13" spans="1:11" ht="46.05" customHeight="1">
      <c r="A13" s="3" t="s">
        <v>26</v>
      </c>
      <c r="B13" s="3" t="s">
        <v>16</v>
      </c>
      <c r="C13" s="3" t="s">
        <v>13</v>
      </c>
      <c r="D13" s="7">
        <v>3</v>
      </c>
      <c r="E13" s="7">
        <v>200</v>
      </c>
      <c r="F13" s="8">
        <v>0.5</v>
      </c>
      <c r="G13" s="7" t="s">
        <v>14</v>
      </c>
      <c r="H13" s="7">
        <v>0</v>
      </c>
      <c r="I13" s="4"/>
      <c r="J13" s="4"/>
      <c r="K13" s="10" t="s">
        <v>67</v>
      </c>
    </row>
    <row r="14" spans="1:11" ht="46.05" customHeight="1">
      <c r="A14" s="2" t="s">
        <v>27</v>
      </c>
      <c r="B14" s="2" t="s">
        <v>16</v>
      </c>
      <c r="C14" s="2" t="s">
        <v>13</v>
      </c>
      <c r="D14" s="5">
        <v>3</v>
      </c>
      <c r="E14" s="5">
        <v>200</v>
      </c>
      <c r="F14" s="6">
        <v>1</v>
      </c>
      <c r="G14" s="5" t="s">
        <v>14</v>
      </c>
      <c r="H14" s="5">
        <v>0</v>
      </c>
      <c r="I14" s="4"/>
      <c r="J14" s="4"/>
      <c r="K14" s="9" t="s">
        <v>68</v>
      </c>
    </row>
    <row r="15" spans="1:11" ht="46.05" customHeight="1">
      <c r="A15" s="3" t="s">
        <v>28</v>
      </c>
      <c r="B15" s="3" t="s">
        <v>16</v>
      </c>
      <c r="C15" s="3" t="s">
        <v>13</v>
      </c>
      <c r="D15" s="7">
        <v>5</v>
      </c>
      <c r="E15" s="7">
        <v>100</v>
      </c>
      <c r="F15" s="8">
        <v>0.1</v>
      </c>
      <c r="G15" s="7" t="s">
        <v>14</v>
      </c>
      <c r="H15" s="7">
        <v>0</v>
      </c>
      <c r="I15" s="4"/>
      <c r="J15" s="4"/>
      <c r="K15" s="10" t="s">
        <v>69</v>
      </c>
    </row>
    <row r="16" spans="1:11" ht="46.05" customHeight="1">
      <c r="A16" s="2" t="s">
        <v>29</v>
      </c>
      <c r="B16" s="2" t="s">
        <v>16</v>
      </c>
      <c r="C16" s="2" t="s">
        <v>13</v>
      </c>
      <c r="D16" s="5">
        <v>5</v>
      </c>
      <c r="E16" s="5">
        <v>100</v>
      </c>
      <c r="F16" s="6">
        <v>0.5</v>
      </c>
      <c r="G16" s="5" t="s">
        <v>14</v>
      </c>
      <c r="H16" s="5">
        <v>0</v>
      </c>
      <c r="I16" s="4"/>
      <c r="J16" s="4"/>
      <c r="K16" s="9" t="s">
        <v>70</v>
      </c>
    </row>
    <row r="17" spans="1:11" ht="46.05" customHeight="1">
      <c r="A17" s="3" t="s">
        <v>30</v>
      </c>
      <c r="B17" s="3" t="s">
        <v>16</v>
      </c>
      <c r="C17" s="3" t="s">
        <v>13</v>
      </c>
      <c r="D17" s="7">
        <v>5</v>
      </c>
      <c r="E17" s="7">
        <v>100</v>
      </c>
      <c r="F17" s="8">
        <v>1</v>
      </c>
      <c r="G17" s="7" t="s">
        <v>14</v>
      </c>
      <c r="H17" s="7">
        <v>0</v>
      </c>
      <c r="I17" s="4"/>
      <c r="J17" s="4"/>
      <c r="K17" s="10" t="s">
        <v>71</v>
      </c>
    </row>
    <row r="18" spans="1:11" ht="46.05" customHeight="1">
      <c r="A18" s="2" t="s">
        <v>31</v>
      </c>
      <c r="B18" s="2" t="s">
        <v>16</v>
      </c>
      <c r="C18" s="2" t="s">
        <v>13</v>
      </c>
      <c r="D18" s="5">
        <v>5</v>
      </c>
      <c r="E18" s="5">
        <v>200</v>
      </c>
      <c r="F18" s="6">
        <v>0.1</v>
      </c>
      <c r="G18" s="5" t="s">
        <v>14</v>
      </c>
      <c r="H18" s="5">
        <v>0</v>
      </c>
      <c r="I18" s="4"/>
      <c r="J18" s="4"/>
      <c r="K18" s="9" t="s">
        <v>72</v>
      </c>
    </row>
    <row r="19" spans="1:11" ht="46.05" customHeight="1">
      <c r="A19" s="3" t="s">
        <v>32</v>
      </c>
      <c r="B19" s="3" t="s">
        <v>16</v>
      </c>
      <c r="C19" s="3" t="s">
        <v>13</v>
      </c>
      <c r="D19" s="7">
        <v>5</v>
      </c>
      <c r="E19" s="7">
        <v>200</v>
      </c>
      <c r="F19" s="8">
        <v>0.5</v>
      </c>
      <c r="G19" s="7" t="s">
        <v>14</v>
      </c>
      <c r="H19" s="7">
        <v>0</v>
      </c>
      <c r="I19" s="4"/>
      <c r="J19" s="4"/>
      <c r="K19" s="10" t="s">
        <v>73</v>
      </c>
    </row>
    <row r="20" spans="1:11" ht="46.05" customHeight="1">
      <c r="A20" s="2" t="s">
        <v>33</v>
      </c>
      <c r="B20" s="2" t="s">
        <v>16</v>
      </c>
      <c r="C20" s="2" t="s">
        <v>13</v>
      </c>
      <c r="D20" s="5">
        <v>5</v>
      </c>
      <c r="E20" s="5">
        <v>200</v>
      </c>
      <c r="F20" s="6">
        <v>1</v>
      </c>
      <c r="G20" s="5" t="s">
        <v>14</v>
      </c>
      <c r="H20" s="5">
        <v>0</v>
      </c>
      <c r="I20" s="4"/>
      <c r="J20" s="4"/>
      <c r="K20" s="9" t="s">
        <v>74</v>
      </c>
    </row>
    <row r="21" spans="1:11" ht="46.05" customHeight="1">
      <c r="A21" s="3" t="s">
        <v>34</v>
      </c>
      <c r="B21" s="3" t="s">
        <v>35</v>
      </c>
      <c r="C21" s="3" t="s">
        <v>13</v>
      </c>
      <c r="D21" s="7">
        <v>1</v>
      </c>
      <c r="E21" s="7">
        <v>100</v>
      </c>
      <c r="F21" s="8">
        <v>0.1</v>
      </c>
      <c r="G21" s="7" t="s">
        <v>14</v>
      </c>
      <c r="H21" s="7">
        <v>0</v>
      </c>
      <c r="I21" s="4"/>
      <c r="J21" s="4"/>
      <c r="K21" s="10" t="s">
        <v>75</v>
      </c>
    </row>
    <row r="22" spans="1:11" ht="46.05" customHeight="1">
      <c r="A22" s="2" t="s">
        <v>36</v>
      </c>
      <c r="B22" s="2" t="s">
        <v>37</v>
      </c>
      <c r="C22" s="2" t="s">
        <v>13</v>
      </c>
      <c r="D22" s="5">
        <v>3</v>
      </c>
      <c r="E22" s="5">
        <v>200</v>
      </c>
      <c r="F22" s="6">
        <v>0.05</v>
      </c>
      <c r="G22" s="5" t="s">
        <v>14</v>
      </c>
      <c r="H22" s="5">
        <v>0</v>
      </c>
      <c r="I22" s="4"/>
      <c r="J22" s="4"/>
      <c r="K22" s="9" t="s">
        <v>76</v>
      </c>
    </row>
    <row r="23" spans="1:11" ht="46.05" customHeight="1">
      <c r="A23" s="3" t="s">
        <v>38</v>
      </c>
      <c r="B23" s="3" t="s">
        <v>37</v>
      </c>
      <c r="C23" s="3" t="s">
        <v>13</v>
      </c>
      <c r="D23" s="7">
        <v>3</v>
      </c>
      <c r="E23" s="7">
        <v>200</v>
      </c>
      <c r="F23" s="8">
        <v>0.01</v>
      </c>
      <c r="G23" s="7" t="s">
        <v>14</v>
      </c>
      <c r="H23" s="7">
        <v>0</v>
      </c>
      <c r="I23" s="4"/>
      <c r="J23" s="4"/>
      <c r="K23" s="10" t="s">
        <v>77</v>
      </c>
    </row>
    <row r="24" spans="1:11" ht="46.05" customHeight="1">
      <c r="A24" s="2" t="s">
        <v>39</v>
      </c>
      <c r="B24" s="2" t="s">
        <v>40</v>
      </c>
      <c r="C24" s="2" t="s">
        <v>13</v>
      </c>
      <c r="D24" s="5">
        <v>3</v>
      </c>
      <c r="E24" s="5">
        <v>100</v>
      </c>
      <c r="F24" s="6">
        <v>0.1</v>
      </c>
      <c r="G24" s="5" t="s">
        <v>41</v>
      </c>
      <c r="H24" s="5">
        <v>0</v>
      </c>
      <c r="I24" s="4"/>
      <c r="J24" s="4"/>
      <c r="K24" s="9" t="s">
        <v>78</v>
      </c>
    </row>
    <row r="25" spans="1:11" ht="46.05" customHeight="1">
      <c r="A25" s="3" t="s">
        <v>42</v>
      </c>
      <c r="B25" s="3" t="s">
        <v>40</v>
      </c>
      <c r="C25" s="3" t="s">
        <v>13</v>
      </c>
      <c r="D25" s="7">
        <v>3</v>
      </c>
      <c r="E25" s="7">
        <v>100</v>
      </c>
      <c r="F25" s="8">
        <v>0.1</v>
      </c>
      <c r="G25" s="7" t="s">
        <v>43</v>
      </c>
      <c r="H25" s="7">
        <v>0</v>
      </c>
      <c r="I25" s="4"/>
      <c r="J25" s="4"/>
      <c r="K25" s="10" t="s">
        <v>79</v>
      </c>
    </row>
    <row r="28" spans="1:11" ht="24" customHeight="1">
      <c r="A28" s="11" t="s">
        <v>44</v>
      </c>
      <c r="B28" s="11"/>
      <c r="C28" s="12" t="s">
        <v>45</v>
      </c>
      <c r="D28" s="12"/>
      <c r="E28" s="12"/>
      <c r="F28" s="12"/>
      <c r="G28" s="12"/>
      <c r="H28" s="12"/>
      <c r="I28" s="12"/>
      <c r="J28" s="12"/>
      <c r="K28" s="12"/>
    </row>
    <row r="29" spans="1:11" ht="24" customHeight="1">
      <c r="A29" s="11" t="s">
        <v>46</v>
      </c>
      <c r="B29" s="11"/>
      <c r="C29" s="12" t="s">
        <v>47</v>
      </c>
      <c r="D29" s="12"/>
      <c r="E29" s="12"/>
      <c r="F29" s="12"/>
      <c r="G29" s="12"/>
      <c r="H29" s="12"/>
      <c r="I29" s="12"/>
      <c r="J29" s="12"/>
      <c r="K29" s="12"/>
    </row>
    <row r="30" spans="1:11" ht="24" customHeight="1">
      <c r="A30" s="11" t="s">
        <v>48</v>
      </c>
      <c r="B30" s="11"/>
      <c r="C30" s="12" t="s">
        <v>49</v>
      </c>
      <c r="D30" s="12"/>
      <c r="E30" s="12"/>
      <c r="F30" s="12"/>
      <c r="G30" s="12"/>
      <c r="H30" s="12"/>
      <c r="I30" s="12"/>
      <c r="J30" s="12"/>
      <c r="K30" s="12"/>
    </row>
    <row r="31" spans="1:11" ht="24" customHeight="1">
      <c r="A31" s="11" t="s">
        <v>50</v>
      </c>
      <c r="B31" s="11"/>
      <c r="C31" s="12" t="s">
        <v>51</v>
      </c>
      <c r="D31" s="12"/>
      <c r="E31" s="12"/>
      <c r="F31" s="12"/>
      <c r="G31" s="12"/>
      <c r="H31" s="12"/>
      <c r="I31" s="12"/>
      <c r="J31" s="12"/>
      <c r="K31" s="12"/>
    </row>
    <row r="32" spans="1:11" ht="24" customHeight="1">
      <c r="A32" s="11" t="s">
        <v>52</v>
      </c>
      <c r="B32" s="11"/>
      <c r="C32" s="12" t="s">
        <v>53</v>
      </c>
      <c r="D32" s="12"/>
      <c r="E32" s="12"/>
      <c r="F32" s="12"/>
      <c r="G32" s="12"/>
      <c r="H32" s="12"/>
      <c r="I32" s="12"/>
      <c r="J32" s="12"/>
      <c r="K32" s="12"/>
    </row>
    <row r="33" spans="1:11" ht="24" customHeight="1">
      <c r="A33" s="11" t="s">
        <v>54</v>
      </c>
      <c r="B33" s="11"/>
      <c r="C33" s="12" t="s">
        <v>55</v>
      </c>
      <c r="D33" s="12"/>
      <c r="E33" s="12"/>
      <c r="F33" s="12"/>
      <c r="G33" s="12"/>
      <c r="H33" s="12"/>
      <c r="I33" s="12"/>
      <c r="J33" s="12"/>
      <c r="K33" s="12"/>
    </row>
  </sheetData>
  <mergeCells count="6">
    <mergeCell ref="C33:K33"/>
    <mergeCell ref="C28:K28"/>
    <mergeCell ref="C29:K29"/>
    <mergeCell ref="C30:K30"/>
    <mergeCell ref="C31:K31"/>
    <mergeCell ref="C32:K32"/>
  </mergeCells>
  <dataValidations count="1">
    <dataValidation type="list" sqref="G2:G25" xr:uid="{00000000-0002-0000-0000-000000000000}">
      <formula1>"linear,square,exponential"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44BD-5D7A-4056-84AE-1E819CDF9661}">
  <dimension ref="A1:I49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3.8"/>
  <cols>
    <col min="2" max="2" width="24.5" customWidth="1"/>
    <col min="7" max="7" width="11.3984375" bestFit="1" customWidth="1"/>
    <col min="8" max="8" width="11.3984375" customWidth="1"/>
    <col min="9" max="9" width="94.19921875" bestFit="1" customWidth="1"/>
  </cols>
  <sheetData>
    <row r="1" spans="1:9" ht="27.6">
      <c r="A1" s="13" t="s">
        <v>0</v>
      </c>
      <c r="B1" s="14" t="s">
        <v>2</v>
      </c>
      <c r="C1" s="15" t="s">
        <v>4</v>
      </c>
      <c r="D1" s="15" t="s">
        <v>5</v>
      </c>
      <c r="E1" s="14" t="s">
        <v>6</v>
      </c>
      <c r="F1" s="15" t="s">
        <v>7</v>
      </c>
      <c r="G1" s="14" t="s">
        <v>8</v>
      </c>
      <c r="H1" s="23" t="s">
        <v>158</v>
      </c>
      <c r="I1" s="16" t="s">
        <v>157</v>
      </c>
    </row>
    <row r="2" spans="1:9">
      <c r="A2" s="17" t="s">
        <v>11</v>
      </c>
      <c r="B2" s="18" t="s">
        <v>81</v>
      </c>
      <c r="C2" s="19">
        <v>50</v>
      </c>
      <c r="D2" s="19">
        <v>1</v>
      </c>
      <c r="E2" s="18" t="s">
        <v>14</v>
      </c>
      <c r="F2" s="19">
        <v>0</v>
      </c>
      <c r="G2" s="20">
        <v>0.86180834107711402</v>
      </c>
      <c r="H2" s="24">
        <f>IF(G2="","",_xlfn.RANK.EQ(G2,$G$2:$G$50,0))</f>
        <v>12</v>
      </c>
      <c r="I2" s="21" t="s">
        <v>80</v>
      </c>
    </row>
    <row r="3" spans="1:9">
      <c r="A3" s="17" t="s">
        <v>15</v>
      </c>
      <c r="B3" s="18" t="s">
        <v>81</v>
      </c>
      <c r="C3" s="19">
        <v>50</v>
      </c>
      <c r="D3" s="19">
        <v>0.5</v>
      </c>
      <c r="E3" s="18" t="s">
        <v>14</v>
      </c>
      <c r="F3" s="19">
        <v>0</v>
      </c>
      <c r="G3" s="20">
        <v>0.85907400309357795</v>
      </c>
      <c r="H3" s="24">
        <f>IF(G3="","",_xlfn.RANK.EQ(G3,$G$2:$G$50,0))</f>
        <v>14</v>
      </c>
      <c r="I3" s="21" t="s">
        <v>86</v>
      </c>
    </row>
    <row r="4" spans="1:9">
      <c r="A4" s="17" t="s">
        <v>17</v>
      </c>
      <c r="B4" s="18" t="s">
        <v>81</v>
      </c>
      <c r="C4" s="19">
        <v>50</v>
      </c>
      <c r="D4" s="19">
        <v>0.1</v>
      </c>
      <c r="E4" s="18" t="s">
        <v>14</v>
      </c>
      <c r="F4" s="19">
        <v>0</v>
      </c>
      <c r="G4" s="20">
        <v>0.86593832651128599</v>
      </c>
      <c r="H4" s="24">
        <f t="shared" ref="H4:H49" si="0">IF(G4="","",_xlfn.RANK.EQ(G4,$G$2:$G$50,0))</f>
        <v>7</v>
      </c>
      <c r="I4" s="21" t="s">
        <v>87</v>
      </c>
    </row>
    <row r="5" spans="1:9">
      <c r="A5" s="17" t="s">
        <v>18</v>
      </c>
      <c r="B5" s="18" t="s">
        <v>81</v>
      </c>
      <c r="C5" s="19">
        <v>50</v>
      </c>
      <c r="D5" s="19">
        <v>0.05</v>
      </c>
      <c r="E5" s="18" t="s">
        <v>14</v>
      </c>
      <c r="F5" s="19">
        <v>0</v>
      </c>
      <c r="G5" s="20">
        <v>0.87497164662752203</v>
      </c>
      <c r="H5" s="24">
        <f t="shared" si="0"/>
        <v>2</v>
      </c>
      <c r="I5" s="21" t="s">
        <v>88</v>
      </c>
    </row>
    <row r="6" spans="1:9">
      <c r="A6" s="17" t="s">
        <v>19</v>
      </c>
      <c r="B6" s="18" t="s">
        <v>81</v>
      </c>
      <c r="C6" s="19">
        <v>100</v>
      </c>
      <c r="D6" s="19">
        <v>1</v>
      </c>
      <c r="E6" s="18" t="s">
        <v>14</v>
      </c>
      <c r="F6" s="19">
        <v>0</v>
      </c>
      <c r="G6" s="20">
        <v>0.86180834107711402</v>
      </c>
      <c r="H6" s="24">
        <f t="shared" si="0"/>
        <v>12</v>
      </c>
      <c r="I6" s="21" t="s">
        <v>89</v>
      </c>
    </row>
    <row r="7" spans="1:9">
      <c r="A7" s="17" t="s">
        <v>20</v>
      </c>
      <c r="B7" s="18" t="s">
        <v>81</v>
      </c>
      <c r="C7" s="19">
        <v>100</v>
      </c>
      <c r="D7" s="19">
        <v>0.5</v>
      </c>
      <c r="E7" s="18" t="s">
        <v>14</v>
      </c>
      <c r="F7" s="19">
        <v>0</v>
      </c>
      <c r="G7" s="20">
        <v>0.85907400309357795</v>
      </c>
      <c r="H7" s="24">
        <f t="shared" si="0"/>
        <v>14</v>
      </c>
      <c r="I7" s="21" t="s">
        <v>90</v>
      </c>
    </row>
    <row r="8" spans="1:9">
      <c r="A8" s="17" t="s">
        <v>21</v>
      </c>
      <c r="B8" s="18" t="s">
        <v>81</v>
      </c>
      <c r="C8" s="19">
        <v>100</v>
      </c>
      <c r="D8" s="19">
        <v>0.1</v>
      </c>
      <c r="E8" s="18" t="s">
        <v>14</v>
      </c>
      <c r="F8" s="19">
        <v>0</v>
      </c>
      <c r="G8" s="20">
        <v>0.85862658293588101</v>
      </c>
      <c r="H8" s="24">
        <f t="shared" si="0"/>
        <v>16</v>
      </c>
      <c r="I8" s="21" t="s">
        <v>91</v>
      </c>
    </row>
    <row r="9" spans="1:9">
      <c r="A9" s="17" t="s">
        <v>22</v>
      </c>
      <c r="B9" s="18" t="s">
        <v>81</v>
      </c>
      <c r="C9" s="19">
        <v>100</v>
      </c>
      <c r="D9" s="19">
        <v>0.05</v>
      </c>
      <c r="E9" s="18" t="s">
        <v>14</v>
      </c>
      <c r="F9" s="19">
        <v>0</v>
      </c>
      <c r="G9" s="20">
        <v>0.86731146182061503</v>
      </c>
      <c r="H9" s="24">
        <f t="shared" si="0"/>
        <v>6</v>
      </c>
      <c r="I9" s="21" t="s">
        <v>92</v>
      </c>
    </row>
    <row r="10" spans="1:9">
      <c r="A10" s="17" t="s">
        <v>23</v>
      </c>
      <c r="B10" s="18" t="s">
        <v>81</v>
      </c>
      <c r="C10" s="19">
        <v>50</v>
      </c>
      <c r="D10" s="19">
        <v>1</v>
      </c>
      <c r="E10" s="18" t="s">
        <v>41</v>
      </c>
      <c r="F10" s="19">
        <v>0</v>
      </c>
      <c r="G10" s="20">
        <v>0.49507072950657699</v>
      </c>
      <c r="H10" s="24">
        <f t="shared" si="0"/>
        <v>46</v>
      </c>
      <c r="I10" s="21" t="s">
        <v>93</v>
      </c>
    </row>
    <row r="11" spans="1:9">
      <c r="A11" s="17" t="s">
        <v>24</v>
      </c>
      <c r="B11" s="18" t="s">
        <v>81</v>
      </c>
      <c r="C11" s="19">
        <v>50</v>
      </c>
      <c r="D11" s="19">
        <v>0.5</v>
      </c>
      <c r="E11" s="18" t="s">
        <v>41</v>
      </c>
      <c r="F11" s="19">
        <v>0</v>
      </c>
      <c r="G11" s="20">
        <v>0.58643063836685605</v>
      </c>
      <c r="H11" s="24">
        <f t="shared" si="0"/>
        <v>38</v>
      </c>
      <c r="I11" s="21" t="s">
        <v>94</v>
      </c>
    </row>
    <row r="12" spans="1:9">
      <c r="A12" s="17" t="s">
        <v>25</v>
      </c>
      <c r="B12" s="18" t="s">
        <v>81</v>
      </c>
      <c r="C12" s="19">
        <v>50</v>
      </c>
      <c r="D12" s="19">
        <v>0.1</v>
      </c>
      <c r="E12" s="18" t="s">
        <v>41</v>
      </c>
      <c r="F12" s="19">
        <v>0</v>
      </c>
      <c r="G12" s="20">
        <v>0.83199083466534496</v>
      </c>
      <c r="H12" s="24">
        <f t="shared" si="0"/>
        <v>23</v>
      </c>
      <c r="I12" s="21" t="s">
        <v>95</v>
      </c>
    </row>
    <row r="13" spans="1:9">
      <c r="A13" s="17" t="s">
        <v>26</v>
      </c>
      <c r="B13" s="18" t="s">
        <v>81</v>
      </c>
      <c r="C13" s="19">
        <v>50</v>
      </c>
      <c r="D13" s="19">
        <v>0.05</v>
      </c>
      <c r="E13" s="18" t="s">
        <v>41</v>
      </c>
      <c r="F13" s="19">
        <v>0</v>
      </c>
      <c r="G13" s="20">
        <v>0.86857143534784298</v>
      </c>
      <c r="H13" s="24">
        <f t="shared" si="0"/>
        <v>5</v>
      </c>
      <c r="I13" s="21" t="s">
        <v>96</v>
      </c>
    </row>
    <row r="14" spans="1:9">
      <c r="A14" s="17" t="s">
        <v>27</v>
      </c>
      <c r="B14" s="18" t="s">
        <v>81</v>
      </c>
      <c r="C14" s="19">
        <v>100</v>
      </c>
      <c r="D14" s="19">
        <v>1</v>
      </c>
      <c r="E14" s="18" t="s">
        <v>41</v>
      </c>
      <c r="F14" s="19">
        <v>0</v>
      </c>
      <c r="G14" s="20">
        <v>0.48423069369909799</v>
      </c>
      <c r="H14" s="24">
        <f t="shared" si="0"/>
        <v>47</v>
      </c>
      <c r="I14" s="21" t="s">
        <v>97</v>
      </c>
    </row>
    <row r="15" spans="1:9">
      <c r="A15" s="17" t="s">
        <v>28</v>
      </c>
      <c r="B15" s="18" t="s">
        <v>81</v>
      </c>
      <c r="C15" s="19">
        <v>100</v>
      </c>
      <c r="D15" s="19">
        <v>0.5</v>
      </c>
      <c r="E15" s="18" t="s">
        <v>41</v>
      </c>
      <c r="F15" s="19">
        <v>0</v>
      </c>
      <c r="G15" s="20">
        <v>0.52172450979003704</v>
      </c>
      <c r="H15" s="24">
        <f t="shared" si="0"/>
        <v>44</v>
      </c>
      <c r="I15" s="21" t="s">
        <v>98</v>
      </c>
    </row>
    <row r="16" spans="1:9">
      <c r="A16" s="17" t="s">
        <v>29</v>
      </c>
      <c r="B16" s="18" t="s">
        <v>81</v>
      </c>
      <c r="C16" s="19">
        <v>100</v>
      </c>
      <c r="D16" s="19">
        <v>0.1</v>
      </c>
      <c r="E16" s="18" t="s">
        <v>41</v>
      </c>
      <c r="F16" s="19">
        <v>0</v>
      </c>
      <c r="G16" s="20">
        <v>0.74132390662523096</v>
      </c>
      <c r="H16" s="24">
        <f t="shared" si="0"/>
        <v>29</v>
      </c>
      <c r="I16" s="21" t="s">
        <v>99</v>
      </c>
    </row>
    <row r="17" spans="1:9">
      <c r="A17" s="17" t="s">
        <v>30</v>
      </c>
      <c r="B17" s="18" t="s">
        <v>81</v>
      </c>
      <c r="C17" s="19">
        <v>100</v>
      </c>
      <c r="D17" s="19">
        <v>0.05</v>
      </c>
      <c r="E17" s="18" t="s">
        <v>41</v>
      </c>
      <c r="F17" s="19">
        <v>0</v>
      </c>
      <c r="G17" s="20">
        <v>0.82399561256825404</v>
      </c>
      <c r="H17" s="24">
        <f t="shared" si="0"/>
        <v>27</v>
      </c>
      <c r="I17" s="21" t="s">
        <v>100</v>
      </c>
    </row>
    <row r="18" spans="1:9" ht="26.4">
      <c r="A18" s="17" t="s">
        <v>31</v>
      </c>
      <c r="B18" s="18" t="s">
        <v>81</v>
      </c>
      <c r="C18" s="19">
        <v>50</v>
      </c>
      <c r="D18" s="19">
        <v>1</v>
      </c>
      <c r="E18" s="18" t="s">
        <v>43</v>
      </c>
      <c r="F18" s="19">
        <v>0</v>
      </c>
      <c r="G18" s="20">
        <v>0.62387477142630698</v>
      </c>
      <c r="H18" s="24">
        <f t="shared" si="0"/>
        <v>36</v>
      </c>
      <c r="I18" s="22" t="s">
        <v>101</v>
      </c>
    </row>
    <row r="19" spans="1:9" ht="26.4">
      <c r="A19" s="17" t="s">
        <v>32</v>
      </c>
      <c r="B19" s="18" t="s">
        <v>81</v>
      </c>
      <c r="C19" s="19">
        <v>50</v>
      </c>
      <c r="D19" s="19">
        <v>0.5</v>
      </c>
      <c r="E19" s="18" t="s">
        <v>43</v>
      </c>
      <c r="F19" s="19">
        <v>0</v>
      </c>
      <c r="G19" s="20">
        <v>0.71848560928233096</v>
      </c>
      <c r="H19" s="24">
        <f t="shared" si="0"/>
        <v>31</v>
      </c>
      <c r="I19" s="22" t="s">
        <v>102</v>
      </c>
    </row>
    <row r="20" spans="1:9" ht="26.4">
      <c r="A20" s="17" t="s">
        <v>33</v>
      </c>
      <c r="B20" s="18" t="s">
        <v>81</v>
      </c>
      <c r="C20" s="19">
        <v>50</v>
      </c>
      <c r="D20" s="19">
        <v>0.1</v>
      </c>
      <c r="E20" s="18" t="s">
        <v>43</v>
      </c>
      <c r="F20" s="19">
        <v>0</v>
      </c>
      <c r="G20" s="20">
        <v>0.864621274283768</v>
      </c>
      <c r="H20" s="24">
        <f t="shared" si="0"/>
        <v>10</v>
      </c>
      <c r="I20" s="22" t="s">
        <v>103</v>
      </c>
    </row>
    <row r="21" spans="1:9" ht="26.4">
      <c r="A21" s="17" t="s">
        <v>34</v>
      </c>
      <c r="B21" s="18" t="s">
        <v>81</v>
      </c>
      <c r="C21" s="19">
        <v>50</v>
      </c>
      <c r="D21" s="19">
        <v>0.05</v>
      </c>
      <c r="E21" s="18" t="s">
        <v>43</v>
      </c>
      <c r="F21" s="19">
        <v>0</v>
      </c>
      <c r="G21" s="20">
        <v>0.71848560928233096</v>
      </c>
      <c r="H21" s="24">
        <f t="shared" si="0"/>
        <v>31</v>
      </c>
      <c r="I21" s="22" t="s">
        <v>104</v>
      </c>
    </row>
    <row r="22" spans="1:9" ht="26.4">
      <c r="A22" s="17" t="s">
        <v>36</v>
      </c>
      <c r="B22" s="18" t="s">
        <v>81</v>
      </c>
      <c r="C22" s="19">
        <v>100</v>
      </c>
      <c r="D22" s="19">
        <v>1</v>
      </c>
      <c r="E22" s="18" t="s">
        <v>43</v>
      </c>
      <c r="F22" s="19">
        <v>0</v>
      </c>
      <c r="G22" s="20">
        <v>0.54941485997078898</v>
      </c>
      <c r="H22" s="24">
        <f t="shared" si="0"/>
        <v>41</v>
      </c>
      <c r="I22" s="22" t="s">
        <v>106</v>
      </c>
    </row>
    <row r="23" spans="1:9" ht="26.4">
      <c r="A23" s="17" t="s">
        <v>38</v>
      </c>
      <c r="B23" s="18" t="s">
        <v>81</v>
      </c>
      <c r="C23" s="19">
        <v>100</v>
      </c>
      <c r="D23" s="19">
        <v>0.5</v>
      </c>
      <c r="E23" s="18" t="s">
        <v>43</v>
      </c>
      <c r="F23" s="19">
        <v>0</v>
      </c>
      <c r="G23" s="20">
        <v>0.62716653571222303</v>
      </c>
      <c r="H23" s="24">
        <f t="shared" si="0"/>
        <v>35</v>
      </c>
      <c r="I23" s="22" t="s">
        <v>107</v>
      </c>
    </row>
    <row r="24" spans="1:9" ht="26.4">
      <c r="A24" s="17" t="s">
        <v>39</v>
      </c>
      <c r="B24" s="18" t="s">
        <v>81</v>
      </c>
      <c r="C24" s="19">
        <v>100</v>
      </c>
      <c r="D24" s="19">
        <v>0.1</v>
      </c>
      <c r="E24" s="18" t="s">
        <v>43</v>
      </c>
      <c r="F24" s="19">
        <v>0</v>
      </c>
      <c r="G24" s="20">
        <v>0.83188036921785002</v>
      </c>
      <c r="H24" s="24">
        <f t="shared" si="0"/>
        <v>25</v>
      </c>
      <c r="I24" s="22" t="s">
        <v>108</v>
      </c>
    </row>
    <row r="25" spans="1:9" ht="26.4">
      <c r="A25" s="17" t="s">
        <v>42</v>
      </c>
      <c r="B25" s="18" t="s">
        <v>81</v>
      </c>
      <c r="C25" s="19">
        <v>100</v>
      </c>
      <c r="D25" s="19">
        <v>0.05</v>
      </c>
      <c r="E25" s="18" t="s">
        <v>43</v>
      </c>
      <c r="F25" s="19">
        <v>0</v>
      </c>
      <c r="G25" s="20">
        <v>0.86538780048566399</v>
      </c>
      <c r="H25" s="24">
        <f t="shared" si="0"/>
        <v>9</v>
      </c>
      <c r="I25" s="22" t="s">
        <v>105</v>
      </c>
    </row>
    <row r="26" spans="1:9" ht="26.4">
      <c r="A26" s="17" t="s">
        <v>109</v>
      </c>
      <c r="B26" s="18" t="s">
        <v>82</v>
      </c>
      <c r="C26" s="19">
        <v>50</v>
      </c>
      <c r="D26" s="19">
        <v>1</v>
      </c>
      <c r="E26" s="18" t="s">
        <v>14</v>
      </c>
      <c r="F26" s="19">
        <v>0</v>
      </c>
      <c r="G26" s="20">
        <v>0.67419757488360499</v>
      </c>
      <c r="H26" s="24">
        <f t="shared" si="0"/>
        <v>33</v>
      </c>
      <c r="I26" s="22" t="s">
        <v>111</v>
      </c>
    </row>
    <row r="27" spans="1:9" ht="26.4">
      <c r="A27" s="17" t="s">
        <v>110</v>
      </c>
      <c r="B27" s="18" t="s">
        <v>83</v>
      </c>
      <c r="C27" s="19">
        <v>50</v>
      </c>
      <c r="D27" s="19">
        <v>0.5</v>
      </c>
      <c r="E27" s="18" t="s">
        <v>14</v>
      </c>
      <c r="F27" s="19">
        <v>0</v>
      </c>
      <c r="G27" s="20">
        <v>0.83957998449277804</v>
      </c>
      <c r="H27" s="24">
        <f t="shared" si="0"/>
        <v>20</v>
      </c>
      <c r="I27" s="22" t="s">
        <v>112</v>
      </c>
    </row>
    <row r="28" spans="1:9" ht="26.4">
      <c r="A28" s="17" t="s">
        <v>113</v>
      </c>
      <c r="B28" s="18" t="s">
        <v>84</v>
      </c>
      <c r="C28" s="19">
        <v>50</v>
      </c>
      <c r="D28" s="19">
        <v>0.1</v>
      </c>
      <c r="E28" s="18" t="s">
        <v>14</v>
      </c>
      <c r="F28" s="19">
        <v>0</v>
      </c>
      <c r="G28" s="20">
        <v>0.86593832651128599</v>
      </c>
      <c r="H28" s="24">
        <f t="shared" si="0"/>
        <v>7</v>
      </c>
      <c r="I28" s="22" t="s">
        <v>119</v>
      </c>
    </row>
    <row r="29" spans="1:9" ht="26.4">
      <c r="A29" s="17" t="s">
        <v>114</v>
      </c>
      <c r="B29" s="18" t="s">
        <v>85</v>
      </c>
      <c r="C29" s="19">
        <v>50</v>
      </c>
      <c r="D29" s="19">
        <v>0.05</v>
      </c>
      <c r="E29" s="18" t="s">
        <v>14</v>
      </c>
      <c r="F29" s="19">
        <v>0</v>
      </c>
      <c r="G29" s="20">
        <v>0.87080718967093595</v>
      </c>
      <c r="H29" s="24">
        <f t="shared" si="0"/>
        <v>4</v>
      </c>
      <c r="I29" s="22" t="s">
        <v>120</v>
      </c>
    </row>
    <row r="30" spans="1:9" ht="26.4">
      <c r="A30" s="17" t="s">
        <v>115</v>
      </c>
      <c r="B30" s="18" t="s">
        <v>82</v>
      </c>
      <c r="C30" s="19">
        <v>100</v>
      </c>
      <c r="D30" s="19">
        <v>1</v>
      </c>
      <c r="E30" s="18" t="s">
        <v>14</v>
      </c>
      <c r="F30" s="19">
        <v>0</v>
      </c>
      <c r="G30" s="20">
        <v>0.67419757488360499</v>
      </c>
      <c r="H30" s="24">
        <f t="shared" si="0"/>
        <v>33</v>
      </c>
      <c r="I30" s="22" t="s">
        <v>122</v>
      </c>
    </row>
    <row r="31" spans="1:9" ht="26.4">
      <c r="A31" s="17" t="s">
        <v>116</v>
      </c>
      <c r="B31" s="18" t="s">
        <v>83</v>
      </c>
      <c r="C31" s="19">
        <v>100</v>
      </c>
      <c r="D31" s="19">
        <v>0.5</v>
      </c>
      <c r="E31" s="18" t="s">
        <v>14</v>
      </c>
      <c r="F31" s="19">
        <v>0</v>
      </c>
      <c r="G31" s="20">
        <v>0.83957998449277804</v>
      </c>
      <c r="H31" s="24">
        <f t="shared" si="0"/>
        <v>20</v>
      </c>
      <c r="I31" s="22" t="s">
        <v>121</v>
      </c>
    </row>
    <row r="32" spans="1:9" ht="26.4">
      <c r="A32" s="17" t="s">
        <v>117</v>
      </c>
      <c r="B32" s="18" t="s">
        <v>84</v>
      </c>
      <c r="C32" s="19">
        <v>100</v>
      </c>
      <c r="D32" s="19">
        <v>0.1</v>
      </c>
      <c r="E32" s="18" t="s">
        <v>14</v>
      </c>
      <c r="F32" s="19">
        <v>0</v>
      </c>
      <c r="G32" s="20">
        <v>0.85862658293588101</v>
      </c>
      <c r="H32" s="24">
        <f t="shared" si="0"/>
        <v>16</v>
      </c>
      <c r="I32" s="22" t="s">
        <v>123</v>
      </c>
    </row>
    <row r="33" spans="1:9" ht="26.4">
      <c r="A33" s="17" t="s">
        <v>118</v>
      </c>
      <c r="B33" s="18" t="s">
        <v>85</v>
      </c>
      <c r="C33" s="19">
        <v>100</v>
      </c>
      <c r="D33" s="19">
        <v>0.05</v>
      </c>
      <c r="E33" s="18" t="s">
        <v>14</v>
      </c>
      <c r="F33" s="19">
        <v>0</v>
      </c>
      <c r="G33" s="20">
        <v>0.84908092763535703</v>
      </c>
      <c r="H33" s="24">
        <f t="shared" si="0"/>
        <v>19</v>
      </c>
      <c r="I33" s="22" t="s">
        <v>124</v>
      </c>
    </row>
    <row r="34" spans="1:9" ht="26.4">
      <c r="A34" s="17" t="s">
        <v>125</v>
      </c>
      <c r="B34" s="18" t="s">
        <v>82</v>
      </c>
      <c r="C34" s="19">
        <v>50</v>
      </c>
      <c r="D34" s="19">
        <v>1</v>
      </c>
      <c r="E34" s="18" t="s">
        <v>41</v>
      </c>
      <c r="F34" s="19">
        <v>0</v>
      </c>
      <c r="G34" s="20">
        <v>0.53762501218867198</v>
      </c>
      <c r="H34" s="24">
        <f t="shared" si="0"/>
        <v>42</v>
      </c>
      <c r="I34" s="22" t="s">
        <v>133</v>
      </c>
    </row>
    <row r="35" spans="1:9" ht="26.4">
      <c r="A35" s="17" t="s">
        <v>126</v>
      </c>
      <c r="B35" s="18" t="s">
        <v>83</v>
      </c>
      <c r="C35" s="19">
        <v>50</v>
      </c>
      <c r="D35" s="19">
        <v>0.5</v>
      </c>
      <c r="E35" s="18" t="s">
        <v>41</v>
      </c>
      <c r="F35" s="19">
        <v>0</v>
      </c>
      <c r="G35" s="20">
        <v>0.58165327321980598</v>
      </c>
      <c r="H35" s="24">
        <f t="shared" si="0"/>
        <v>39</v>
      </c>
      <c r="I35" s="22" t="s">
        <v>134</v>
      </c>
    </row>
    <row r="36" spans="1:9" ht="26.4">
      <c r="A36" s="17" t="s">
        <v>127</v>
      </c>
      <c r="B36" s="18" t="s">
        <v>84</v>
      </c>
      <c r="C36" s="19">
        <v>50</v>
      </c>
      <c r="D36" s="19">
        <v>0.1</v>
      </c>
      <c r="E36" s="18" t="s">
        <v>41</v>
      </c>
      <c r="F36" s="19">
        <v>0</v>
      </c>
      <c r="G36" s="20">
        <v>0.83199083466534496</v>
      </c>
      <c r="H36" s="24">
        <f t="shared" si="0"/>
        <v>23</v>
      </c>
      <c r="I36" s="22" t="s">
        <v>135</v>
      </c>
    </row>
    <row r="37" spans="1:9" ht="26.4">
      <c r="A37" s="25" t="s">
        <v>128</v>
      </c>
      <c r="B37" s="26" t="s">
        <v>85</v>
      </c>
      <c r="C37" s="27">
        <v>50</v>
      </c>
      <c r="D37" s="27">
        <v>0.05</v>
      </c>
      <c r="E37" s="26" t="s">
        <v>41</v>
      </c>
      <c r="F37" s="27">
        <v>0</v>
      </c>
      <c r="G37" s="28">
        <v>0.87981908706955303</v>
      </c>
      <c r="H37" s="29">
        <f t="shared" si="0"/>
        <v>1</v>
      </c>
      <c r="I37" s="30" t="s">
        <v>136</v>
      </c>
    </row>
    <row r="38" spans="1:9" ht="26.4">
      <c r="A38" s="17" t="s">
        <v>129</v>
      </c>
      <c r="B38" s="18" t="s">
        <v>82</v>
      </c>
      <c r="C38" s="19">
        <v>100</v>
      </c>
      <c r="D38" s="19">
        <v>1</v>
      </c>
      <c r="E38" s="18" t="s">
        <v>41</v>
      </c>
      <c r="F38" s="19">
        <v>0</v>
      </c>
      <c r="G38" s="20">
        <v>0.53762501218867198</v>
      </c>
      <c r="H38" s="24">
        <f t="shared" si="0"/>
        <v>42</v>
      </c>
      <c r="I38" s="22" t="s">
        <v>137</v>
      </c>
    </row>
    <row r="39" spans="1:9" ht="26.4">
      <c r="A39" s="17" t="s">
        <v>130</v>
      </c>
      <c r="B39" s="18" t="s">
        <v>83</v>
      </c>
      <c r="C39" s="19">
        <v>100</v>
      </c>
      <c r="D39" s="19">
        <v>0.5</v>
      </c>
      <c r="E39" s="18" t="s">
        <v>41</v>
      </c>
      <c r="F39" s="19">
        <v>0</v>
      </c>
      <c r="G39" s="20">
        <v>0.55081447355795399</v>
      </c>
      <c r="H39" s="24">
        <f t="shared" si="0"/>
        <v>40</v>
      </c>
      <c r="I39" s="22" t="s">
        <v>138</v>
      </c>
    </row>
    <row r="40" spans="1:9" ht="26.4">
      <c r="A40" s="17" t="s">
        <v>131</v>
      </c>
      <c r="B40" s="18" t="s">
        <v>84</v>
      </c>
      <c r="C40" s="19">
        <v>100</v>
      </c>
      <c r="D40" s="19">
        <v>0.1</v>
      </c>
      <c r="E40" s="18" t="s">
        <v>41</v>
      </c>
      <c r="F40" s="19">
        <v>0</v>
      </c>
      <c r="G40" s="20">
        <v>0.74132390662523096</v>
      </c>
      <c r="H40" s="24">
        <f t="shared" si="0"/>
        <v>29</v>
      </c>
      <c r="I40" s="22" t="s">
        <v>139</v>
      </c>
    </row>
    <row r="41" spans="1:9" ht="26.4">
      <c r="A41" s="17" t="s">
        <v>132</v>
      </c>
      <c r="B41" s="18" t="s">
        <v>85</v>
      </c>
      <c r="C41" s="19">
        <v>100</v>
      </c>
      <c r="D41" s="19">
        <v>0.05</v>
      </c>
      <c r="E41" s="18" t="s">
        <v>41</v>
      </c>
      <c r="F41" s="19">
        <v>0</v>
      </c>
      <c r="G41" s="20">
        <v>0.83373594429488895</v>
      </c>
      <c r="H41" s="24">
        <f t="shared" si="0"/>
        <v>22</v>
      </c>
      <c r="I41" s="22" t="s">
        <v>140</v>
      </c>
    </row>
    <row r="42" spans="1:9" ht="26.4">
      <c r="A42" s="17" t="s">
        <v>141</v>
      </c>
      <c r="B42" s="18" t="s">
        <v>82</v>
      </c>
      <c r="C42" s="19">
        <v>50</v>
      </c>
      <c r="D42" s="19">
        <v>1</v>
      </c>
      <c r="E42" s="18" t="s">
        <v>43</v>
      </c>
      <c r="F42" s="19">
        <v>0</v>
      </c>
      <c r="G42" s="20">
        <v>0.49811262317428001</v>
      </c>
      <c r="H42" s="24">
        <f t="shared" si="0"/>
        <v>45</v>
      </c>
      <c r="I42" s="22" t="s">
        <v>149</v>
      </c>
    </row>
    <row r="43" spans="1:9" ht="26.4">
      <c r="A43" s="17" t="s">
        <v>142</v>
      </c>
      <c r="B43" s="18" t="s">
        <v>83</v>
      </c>
      <c r="C43" s="19">
        <v>50</v>
      </c>
      <c r="D43" s="19">
        <v>0.5</v>
      </c>
      <c r="E43" s="18" t="s">
        <v>43</v>
      </c>
      <c r="F43" s="19">
        <v>0</v>
      </c>
      <c r="G43" s="20">
        <v>0.74288370218190203</v>
      </c>
      <c r="H43" s="24">
        <f t="shared" si="0"/>
        <v>28</v>
      </c>
      <c r="I43" s="22" t="s">
        <v>150</v>
      </c>
    </row>
    <row r="44" spans="1:9" ht="26.4">
      <c r="A44" s="17" t="s">
        <v>143</v>
      </c>
      <c r="B44" s="18" t="s">
        <v>84</v>
      </c>
      <c r="C44" s="19">
        <v>50</v>
      </c>
      <c r="D44" s="19">
        <v>0.1</v>
      </c>
      <c r="E44" s="18" t="s">
        <v>43</v>
      </c>
      <c r="F44" s="19">
        <v>0</v>
      </c>
      <c r="G44" s="20">
        <v>0.864621274283768</v>
      </c>
      <c r="H44" s="24">
        <f t="shared" si="0"/>
        <v>10</v>
      </c>
      <c r="I44" s="22" t="s">
        <v>151</v>
      </c>
    </row>
    <row r="45" spans="1:9" ht="26.4">
      <c r="A45" s="17" t="s">
        <v>144</v>
      </c>
      <c r="B45" s="18" t="s">
        <v>85</v>
      </c>
      <c r="C45" s="19">
        <v>50</v>
      </c>
      <c r="D45" s="19">
        <v>0.05</v>
      </c>
      <c r="E45" s="18" t="s">
        <v>43</v>
      </c>
      <c r="F45" s="19">
        <v>0</v>
      </c>
      <c r="G45" s="20">
        <v>0.87339495341221396</v>
      </c>
      <c r="H45" s="24">
        <f t="shared" si="0"/>
        <v>3</v>
      </c>
      <c r="I45" s="22" t="s">
        <v>152</v>
      </c>
    </row>
    <row r="46" spans="1:9" ht="26.4">
      <c r="A46" s="17" t="s">
        <v>145</v>
      </c>
      <c r="B46" s="18" t="s">
        <v>82</v>
      </c>
      <c r="C46" s="19">
        <v>100</v>
      </c>
      <c r="D46" s="19">
        <v>1</v>
      </c>
      <c r="E46" s="18" t="s">
        <v>43</v>
      </c>
      <c r="F46" s="19">
        <v>0</v>
      </c>
      <c r="G46" s="20">
        <v>0.45436984656030399</v>
      </c>
      <c r="H46" s="24">
        <f t="shared" si="0"/>
        <v>48</v>
      </c>
      <c r="I46" s="22" t="s">
        <v>153</v>
      </c>
    </row>
    <row r="47" spans="1:9" ht="26.4">
      <c r="A47" s="17" t="s">
        <v>146</v>
      </c>
      <c r="B47" s="18" t="s">
        <v>83</v>
      </c>
      <c r="C47" s="19">
        <v>100</v>
      </c>
      <c r="D47" s="19">
        <v>0.5</v>
      </c>
      <c r="E47" s="18" t="s">
        <v>43</v>
      </c>
      <c r="F47" s="19">
        <v>0</v>
      </c>
      <c r="G47" s="20">
        <v>0.62324309920263599</v>
      </c>
      <c r="H47" s="24">
        <f t="shared" si="0"/>
        <v>37</v>
      </c>
      <c r="I47" s="22" t="s">
        <v>154</v>
      </c>
    </row>
    <row r="48" spans="1:9" ht="26.4">
      <c r="A48" s="17" t="s">
        <v>147</v>
      </c>
      <c r="B48" s="18" t="s">
        <v>84</v>
      </c>
      <c r="C48" s="19">
        <v>100</v>
      </c>
      <c r="D48" s="19">
        <v>0.1</v>
      </c>
      <c r="E48" s="18" t="s">
        <v>43</v>
      </c>
      <c r="F48" s="19">
        <v>0</v>
      </c>
      <c r="G48" s="20">
        <v>0.83188036921785002</v>
      </c>
      <c r="H48" s="24">
        <f t="shared" si="0"/>
        <v>25</v>
      </c>
      <c r="I48" s="22" t="s">
        <v>155</v>
      </c>
    </row>
    <row r="49" spans="1:9" ht="26.4">
      <c r="A49" s="17" t="s">
        <v>148</v>
      </c>
      <c r="B49" s="18" t="s">
        <v>85</v>
      </c>
      <c r="C49" s="19">
        <v>100</v>
      </c>
      <c r="D49" s="19">
        <v>0.05</v>
      </c>
      <c r="E49" s="18" t="s">
        <v>43</v>
      </c>
      <c r="F49" s="19">
        <v>0</v>
      </c>
      <c r="G49" s="20">
        <v>0.85841378073805497</v>
      </c>
      <c r="H49" s="24">
        <f t="shared" si="0"/>
        <v>18</v>
      </c>
      <c r="I49" s="22" t="s">
        <v>156</v>
      </c>
    </row>
  </sheetData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AdaBoost experiments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rousan</cp:lastModifiedBy>
  <dcterms:modified xsi:type="dcterms:W3CDTF">2026-10-05T05:45:21Z</dcterms:modified>
</cp:coreProperties>
</file>